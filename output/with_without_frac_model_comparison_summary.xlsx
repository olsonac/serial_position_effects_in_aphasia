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sonac-admin/Documents/current/neuropsych/Italian_patients/serial_position_project/serial_position_analysis/output/"/>
    </mc:Choice>
  </mc:AlternateContent>
  <xr:revisionPtr revIDLastSave="0" documentId="13_ncr:1_{865CC492-7FC6-5F44-9479-2E45AA332DBE}" xr6:coauthVersionLast="47" xr6:coauthVersionMax="47" xr10:uidLastSave="{00000000-0000-0000-0000-000000000000}"/>
  <bookViews>
    <workbookView xWindow="13280" yWindow="4520" windowWidth="22660" windowHeight="12440" xr2:uid="{2A85795B-CE51-DB45-B754-65F71CAE3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K7" i="1"/>
  <c r="Q7" i="1"/>
  <c r="R18" i="1"/>
  <c r="R13" i="1"/>
  <c r="R12" i="1"/>
  <c r="R8" i="1"/>
  <c r="R6" i="1"/>
  <c r="R5" i="1"/>
  <c r="R3" i="1"/>
  <c r="R2" i="1"/>
  <c r="Q18" i="1"/>
  <c r="Q13" i="1"/>
  <c r="Q12" i="1"/>
  <c r="Q8" i="1"/>
  <c r="Q6" i="1"/>
  <c r="Q5" i="1"/>
  <c r="Q3" i="1"/>
  <c r="Q2" i="1"/>
  <c r="O18" i="1"/>
  <c r="K18" i="1"/>
  <c r="K13" i="1"/>
  <c r="O13" i="1"/>
  <c r="K12" i="1"/>
  <c r="O12" i="1"/>
  <c r="O8" i="1"/>
  <c r="O6" i="1"/>
  <c r="K8" i="1"/>
  <c r="K6" i="1"/>
  <c r="O5" i="1"/>
  <c r="K5" i="1"/>
  <c r="O3" i="1"/>
  <c r="O2" i="1"/>
  <c r="K3" i="1"/>
  <c r="K2" i="1"/>
</calcChain>
</file>

<file path=xl/sharedStrings.xml><?xml version="1.0" encoding="utf-8"?>
<sst xmlns="http://schemas.openxmlformats.org/spreadsheetml/2006/main" count="149" uniqueCount="66">
  <si>
    <t>AC</t>
  </si>
  <si>
    <t>best ME model</t>
  </si>
  <si>
    <t>best ME model no frac</t>
  </si>
  <si>
    <t>preserved ~ CumErr</t>
  </si>
  <si>
    <t>best ME plus one all</t>
  </si>
  <si>
    <t>best ME plus one no frac</t>
  </si>
  <si>
    <t>preserved ~ CumErr + pos + stimlen + log_freq</t>
  </si>
  <si>
    <t>preserved ~ CumErr + CumPres</t>
  </si>
  <si>
    <t>best all</t>
  </si>
  <si>
    <t>best no frac</t>
  </si>
  <si>
    <t>preserved ~ CumErr + CumPres + stimlen + log_freq</t>
  </si>
  <si>
    <t>CA</t>
  </si>
  <si>
    <t>DC</t>
  </si>
  <si>
    <t>preserved ~ stimlen</t>
  </si>
  <si>
    <t>preserved ~ stimlen + I(pos^2) + pos</t>
  </si>
  <si>
    <t>preserved ~ stimlen + I(pos^2) + pos + log_freq</t>
  </si>
  <si>
    <t>PV</t>
  </si>
  <si>
    <t>DG</t>
  </si>
  <si>
    <t>VS</t>
  </si>
  <si>
    <t>MC</t>
  </si>
  <si>
    <t>DS</t>
  </si>
  <si>
    <t>RM</t>
  </si>
  <si>
    <t>TC</t>
  </si>
  <si>
    <t>PM</t>
  </si>
  <si>
    <t>MS</t>
  </si>
  <si>
    <t>OB</t>
  </si>
  <si>
    <t>EM</t>
  </si>
  <si>
    <t>AV</t>
  </si>
  <si>
    <t>GC</t>
  </si>
  <si>
    <t>SR</t>
  </si>
  <si>
    <t>preserved ~ CumErr + I(pos^2) + pos</t>
  </si>
  <si>
    <t>preserved ~ CumErr + I(pos^2) + pos + stimlen + log_freq</t>
  </si>
  <si>
    <t>preserved ~ CumErr + stimlen + log_freq</t>
  </si>
  <si>
    <t>preserved ~ (I(pos^2) + pos)</t>
  </si>
  <si>
    <t>preserved ~ (I(pos^2) + pos) + CumPres</t>
  </si>
  <si>
    <t>preserved ~ CumErr + I(pos^2) + pos + stimlen</t>
  </si>
  <si>
    <t>preserved ~ (I(pos^2) + pos) + CumPres + stimlen</t>
  </si>
  <si>
    <t>preserved ~ CumErr + I(pos^2) + pos + log_freq</t>
  </si>
  <si>
    <t>preserved ~ CumPres</t>
  </si>
  <si>
    <t>preserved ~ CumPres + stimlen</t>
  </si>
  <si>
    <t>preserved ~ CumPres + stimlen + log_freq</t>
  </si>
  <si>
    <t>preserved ~ CumPres + I(pos^2) + pos</t>
  </si>
  <si>
    <t>preserved ~ CumPres + I(pos^2) + pos + stimlen + log_freq</t>
  </si>
  <si>
    <t>preserved ~ CumPres + pos</t>
  </si>
  <si>
    <t>preserved ~ CumPres + pos + log_freq</t>
  </si>
  <si>
    <t>preserved ~ CumErr + stimlen (pos +pos^2 AIC diff = 2.1)</t>
  </si>
  <si>
    <t>preserved ~ CumErr + stimlen (pos + pos^2 diff = 2.33)</t>
  </si>
  <si>
    <t>preserved ~ CumErr + stimlen (pos + pos^2 diff = 5.2)</t>
  </si>
  <si>
    <t>preserved ~ CumErr + CumPres (pos + pos^2 AIC diff = 8.1)</t>
  </si>
  <si>
    <t>preserved ~ CumErr + pos (CumPres = pos)</t>
  </si>
  <si>
    <t>preserved ~ CumErr + CumPres (pos + pos^2 AIC diff = 4.7)</t>
  </si>
  <si>
    <t>preserved ~ CumErr + I(pos^2) + pos (pos=CumPres)</t>
  </si>
  <si>
    <t>preserved ~ CumErr + CumPres (pos AIC diff = 9.5)</t>
  </si>
  <si>
    <t>preserved ~ CumErr + CumPres (pos AIC diff = .07)</t>
  </si>
  <si>
    <t>preserved ~ CumErr + CumPres (pos AIC diff = 16.2)</t>
  </si>
  <si>
    <t>second factot - all</t>
  </si>
  <si>
    <t>second factor - no frac</t>
  </si>
  <si>
    <t>CumPres</t>
  </si>
  <si>
    <t>pos</t>
  </si>
  <si>
    <t>1st/2nd contribution</t>
  </si>
  <si>
    <t>1st contribution</t>
  </si>
  <si>
    <t>2nd contribution</t>
  </si>
  <si>
    <t>pos^2</t>
  </si>
  <si>
    <t>stimlen</t>
  </si>
  <si>
    <t>1st to second ratio</t>
  </si>
  <si>
    <t>preserved ~ CumErr + pos (CumPres=pos)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</si>
</sst>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06C4-A815-B041-A4EB-863D14472FCF}">
  <dimension ref="A1:R18"/>
  <sheetViews>
    <sheetView tabSelected="1" workbookViewId="0">
      <selection activeCell="D18" sqref="D18"/>
    </sheetView>
  </sheetViews>
  <sheetFormatPr baseColWidth="10" defaultRowHeight="16" x14ac:dyDescent="0.2"/>
  <cols>
    <col min="1" max="1" width="6.83203125" customWidth="1"/>
    <col min="2" max="2" width="19.1640625" customWidth="1"/>
    <col min="3" max="3" width="5.1640625" customWidth="1"/>
    <col min="4" max="4" width="39.1640625" customWidth="1"/>
    <col min="5" max="5" width="45.1640625" customWidth="1"/>
    <col min="6" max="6" width="47.83203125" customWidth="1"/>
    <col min="7" max="7" width="41.83203125" customWidth="1"/>
  </cols>
  <sheetData>
    <row r="1" spans="1:18" x14ac:dyDescent="0.2">
      <c r="B1" t="s">
        <v>1</v>
      </c>
      <c r="C1" t="s">
        <v>2</v>
      </c>
      <c r="D1" t="s">
        <v>4</v>
      </c>
      <c r="E1" t="s">
        <v>5</v>
      </c>
      <c r="F1" t="s">
        <v>8</v>
      </c>
      <c r="G1" t="s">
        <v>9</v>
      </c>
      <c r="H1" t="s">
        <v>55</v>
      </c>
      <c r="I1" t="s">
        <v>60</v>
      </c>
      <c r="J1" t="s">
        <v>61</v>
      </c>
      <c r="L1" t="s">
        <v>56</v>
      </c>
      <c r="M1" t="s">
        <v>59</v>
      </c>
      <c r="Q1" t="s">
        <v>64</v>
      </c>
    </row>
    <row r="2" spans="1:18" x14ac:dyDescent="0.2">
      <c r="A2" t="s">
        <v>0</v>
      </c>
      <c r="B2" t="s">
        <v>3</v>
      </c>
      <c r="C2" t="s">
        <v>3</v>
      </c>
      <c r="D2" t="s">
        <v>65</v>
      </c>
      <c r="E2" s="3" t="s">
        <v>52</v>
      </c>
      <c r="F2" t="s">
        <v>6</v>
      </c>
      <c r="G2" t="s">
        <v>10</v>
      </c>
      <c r="H2" t="s">
        <v>58</v>
      </c>
      <c r="I2">
        <v>5</v>
      </c>
      <c r="J2">
        <v>0.4</v>
      </c>
      <c r="K2">
        <f>I2+J2</f>
        <v>5.4</v>
      </c>
      <c r="L2" t="s">
        <v>57</v>
      </c>
      <c r="M2">
        <v>3.3</v>
      </c>
      <c r="N2">
        <v>0.9</v>
      </c>
      <c r="O2">
        <f>M2+N2</f>
        <v>4.2</v>
      </c>
      <c r="Q2">
        <f>I2/J2</f>
        <v>12.5</v>
      </c>
      <c r="R2">
        <f>M2/N2</f>
        <v>3.6666666666666665</v>
      </c>
    </row>
    <row r="3" spans="1:18" x14ac:dyDescent="0.2">
      <c r="A3" t="s">
        <v>11</v>
      </c>
      <c r="B3" t="s">
        <v>3</v>
      </c>
      <c r="C3" t="s">
        <v>3</v>
      </c>
      <c r="D3" t="s">
        <v>65</v>
      </c>
      <c r="E3" s="3" t="s">
        <v>53</v>
      </c>
      <c r="F3" t="s">
        <v>10</v>
      </c>
      <c r="G3" t="s">
        <v>10</v>
      </c>
      <c r="H3" t="s">
        <v>57</v>
      </c>
      <c r="I3">
        <v>7.2</v>
      </c>
      <c r="J3">
        <v>1.4</v>
      </c>
      <c r="K3">
        <f>I3+J3</f>
        <v>8.6</v>
      </c>
      <c r="L3" t="s">
        <v>57</v>
      </c>
      <c r="M3">
        <v>6.7</v>
      </c>
      <c r="N3">
        <v>1.4</v>
      </c>
      <c r="O3">
        <f>M3+N3</f>
        <v>8.1</v>
      </c>
      <c r="Q3">
        <f>I3/J3</f>
        <v>5.1428571428571432</v>
      </c>
      <c r="R3">
        <f>M3/N3</f>
        <v>4.7857142857142865</v>
      </c>
    </row>
    <row r="4" spans="1:18" x14ac:dyDescent="0.2">
      <c r="A4" t="s">
        <v>12</v>
      </c>
      <c r="B4" t="s">
        <v>13</v>
      </c>
      <c r="C4" t="s">
        <v>13</v>
      </c>
      <c r="D4" t="s">
        <v>14</v>
      </c>
      <c r="E4" t="s">
        <v>14</v>
      </c>
      <c r="F4" t="s">
        <v>15</v>
      </c>
      <c r="G4" t="s">
        <v>15</v>
      </c>
    </row>
    <row r="5" spans="1:18" x14ac:dyDescent="0.2">
      <c r="A5" t="s">
        <v>16</v>
      </c>
      <c r="B5" t="s">
        <v>3</v>
      </c>
      <c r="C5" t="s">
        <v>3</v>
      </c>
      <c r="D5" t="s">
        <v>30</v>
      </c>
      <c r="E5" s="1" t="s">
        <v>47</v>
      </c>
      <c r="F5" t="s">
        <v>31</v>
      </c>
      <c r="G5" t="s">
        <v>32</v>
      </c>
      <c r="H5" t="s">
        <v>62</v>
      </c>
      <c r="I5">
        <v>6.1</v>
      </c>
      <c r="J5">
        <v>1</v>
      </c>
      <c r="K5">
        <f>I5+J5</f>
        <v>7.1</v>
      </c>
      <c r="L5" t="s">
        <v>63</v>
      </c>
      <c r="M5">
        <v>3.7</v>
      </c>
      <c r="N5">
        <v>0.9</v>
      </c>
      <c r="O5">
        <f>M5+N5</f>
        <v>4.6000000000000005</v>
      </c>
      <c r="Q5">
        <f>I5/J5</f>
        <v>6.1</v>
      </c>
      <c r="R5">
        <f>M5/N5</f>
        <v>4.1111111111111116</v>
      </c>
    </row>
    <row r="6" spans="1:18" x14ac:dyDescent="0.2">
      <c r="A6" t="s">
        <v>17</v>
      </c>
      <c r="B6" t="s">
        <v>3</v>
      </c>
      <c r="C6" t="s">
        <v>3</v>
      </c>
      <c r="D6" t="s">
        <v>30</v>
      </c>
      <c r="E6" s="1" t="s">
        <v>46</v>
      </c>
      <c r="F6" t="s">
        <v>31</v>
      </c>
      <c r="G6" t="s">
        <v>32</v>
      </c>
      <c r="H6" t="s">
        <v>62</v>
      </c>
      <c r="I6">
        <v>3.8</v>
      </c>
      <c r="J6">
        <v>1.3</v>
      </c>
      <c r="K6">
        <f>I6+J6</f>
        <v>5.0999999999999996</v>
      </c>
      <c r="L6" t="s">
        <v>63</v>
      </c>
      <c r="M6">
        <v>2.5</v>
      </c>
      <c r="N6">
        <v>0.4</v>
      </c>
      <c r="O6">
        <f>M6+N6</f>
        <v>2.9</v>
      </c>
      <c r="Q6">
        <f>I6/J6</f>
        <v>2.9230769230769229</v>
      </c>
      <c r="R6">
        <f>M6/N6</f>
        <v>6.25</v>
      </c>
    </row>
    <row r="7" spans="1:18" s="2" customFormat="1" x14ac:dyDescent="0.2">
      <c r="A7" s="2" t="s">
        <v>18</v>
      </c>
      <c r="B7" s="2" t="s">
        <v>3</v>
      </c>
      <c r="C7" s="2" t="s">
        <v>33</v>
      </c>
      <c r="D7" s="2" t="s">
        <v>30</v>
      </c>
      <c r="E7" s="2" t="s">
        <v>34</v>
      </c>
      <c r="F7" s="2" t="s">
        <v>35</v>
      </c>
      <c r="G7" s="2" t="s">
        <v>36</v>
      </c>
      <c r="H7" s="2" t="s">
        <v>62</v>
      </c>
      <c r="I7" s="2">
        <v>6.9</v>
      </c>
      <c r="J7" s="2">
        <v>8.8000000000000007</v>
      </c>
      <c r="K7" s="2">
        <f>I7+J7</f>
        <v>15.700000000000001</v>
      </c>
      <c r="L7" s="2" t="s">
        <v>57</v>
      </c>
      <c r="M7" s="2">
        <v>12.5</v>
      </c>
      <c r="N7" s="2">
        <v>2.8</v>
      </c>
      <c r="O7" s="2">
        <f>SUM(M7:N7)</f>
        <v>15.3</v>
      </c>
      <c r="Q7" s="2">
        <f>I7/J7</f>
        <v>0.78409090909090906</v>
      </c>
    </row>
    <row r="8" spans="1:18" x14ac:dyDescent="0.2">
      <c r="A8" t="s">
        <v>19</v>
      </c>
      <c r="B8" t="s">
        <v>3</v>
      </c>
      <c r="C8" t="s">
        <v>3</v>
      </c>
      <c r="D8" t="s">
        <v>51</v>
      </c>
      <c r="E8" s="3" t="s">
        <v>50</v>
      </c>
      <c r="F8" t="s">
        <v>35</v>
      </c>
      <c r="G8" t="s">
        <v>7</v>
      </c>
      <c r="H8" t="s">
        <v>62</v>
      </c>
      <c r="I8">
        <v>5.6</v>
      </c>
      <c r="J8">
        <v>0.7</v>
      </c>
      <c r="K8">
        <f>I8+J8</f>
        <v>6.3</v>
      </c>
      <c r="L8" t="s">
        <v>57</v>
      </c>
      <c r="M8">
        <v>4</v>
      </c>
      <c r="N8">
        <v>0.4</v>
      </c>
      <c r="O8">
        <f>M8+N8</f>
        <v>4.4000000000000004</v>
      </c>
      <c r="Q8">
        <f>I8/J8</f>
        <v>8</v>
      </c>
      <c r="R8">
        <f>M8/N8</f>
        <v>10</v>
      </c>
    </row>
    <row r="9" spans="1:18" x14ac:dyDescent="0.2">
      <c r="A9" t="s">
        <v>20</v>
      </c>
      <c r="B9" t="s">
        <v>3</v>
      </c>
      <c r="C9" t="s">
        <v>3</v>
      </c>
      <c r="D9" t="s">
        <v>30</v>
      </c>
      <c r="E9" t="s">
        <v>30</v>
      </c>
      <c r="F9" t="s">
        <v>35</v>
      </c>
      <c r="G9" t="s">
        <v>35</v>
      </c>
    </row>
    <row r="10" spans="1:18" x14ac:dyDescent="0.2">
      <c r="A10" t="s">
        <v>21</v>
      </c>
      <c r="B10" t="s">
        <v>3</v>
      </c>
      <c r="C10" t="s">
        <v>3</v>
      </c>
      <c r="D10" t="s">
        <v>30</v>
      </c>
      <c r="E10" t="s">
        <v>30</v>
      </c>
      <c r="F10" t="s">
        <v>37</v>
      </c>
      <c r="G10" t="s">
        <v>37</v>
      </c>
    </row>
    <row r="11" spans="1:18" x14ac:dyDescent="0.2">
      <c r="A11" t="s">
        <v>22</v>
      </c>
      <c r="B11" t="s">
        <v>3</v>
      </c>
      <c r="C11" t="s">
        <v>3</v>
      </c>
      <c r="D11" t="s">
        <v>30</v>
      </c>
      <c r="E11" t="s">
        <v>30</v>
      </c>
      <c r="F11" t="s">
        <v>37</v>
      </c>
      <c r="G11" t="s">
        <v>37</v>
      </c>
    </row>
    <row r="12" spans="1:18" x14ac:dyDescent="0.2">
      <c r="A12" t="s">
        <v>23</v>
      </c>
      <c r="B12" t="s">
        <v>3</v>
      </c>
      <c r="C12" t="s">
        <v>3</v>
      </c>
      <c r="D12" t="s">
        <v>30</v>
      </c>
      <c r="E12" s="1" t="s">
        <v>45</v>
      </c>
      <c r="F12" t="s">
        <v>31</v>
      </c>
      <c r="G12" t="s">
        <v>32</v>
      </c>
      <c r="H12" t="s">
        <v>62</v>
      </c>
      <c r="I12">
        <v>3.7</v>
      </c>
      <c r="J12">
        <v>1.8</v>
      </c>
      <c r="K12">
        <f>I12+J12</f>
        <v>5.5</v>
      </c>
      <c r="L12" t="s">
        <v>63</v>
      </c>
      <c r="M12">
        <v>2.1</v>
      </c>
      <c r="N12">
        <v>0.7</v>
      </c>
      <c r="O12">
        <f>M12+N12</f>
        <v>2.8</v>
      </c>
      <c r="Q12">
        <f>I12/J12</f>
        <v>2.0555555555555558</v>
      </c>
      <c r="R12">
        <f>M12/N12</f>
        <v>3.0000000000000004</v>
      </c>
    </row>
    <row r="13" spans="1:18" x14ac:dyDescent="0.2">
      <c r="A13" t="s">
        <v>24</v>
      </c>
      <c r="B13" t="s">
        <v>3</v>
      </c>
      <c r="C13" t="s">
        <v>3</v>
      </c>
      <c r="D13" t="s">
        <v>30</v>
      </c>
      <c r="E13" s="1" t="s">
        <v>48</v>
      </c>
      <c r="F13" t="s">
        <v>31</v>
      </c>
      <c r="G13" t="s">
        <v>10</v>
      </c>
      <c r="H13" t="s">
        <v>62</v>
      </c>
      <c r="I13">
        <v>19.899999999999999</v>
      </c>
      <c r="J13">
        <v>1.6</v>
      </c>
      <c r="K13">
        <f>I13+J13</f>
        <v>21.5</v>
      </c>
      <c r="L13" t="s">
        <v>57</v>
      </c>
      <c r="M13">
        <v>17.399999999999999</v>
      </c>
      <c r="N13">
        <v>1.3</v>
      </c>
      <c r="O13">
        <f>M13+N13</f>
        <v>18.7</v>
      </c>
      <c r="Q13">
        <f>I13/J13</f>
        <v>12.437499999999998</v>
      </c>
      <c r="R13">
        <f>M13/N13</f>
        <v>13.384615384615383</v>
      </c>
    </row>
    <row r="14" spans="1:18" x14ac:dyDescent="0.2">
      <c r="A14" t="s">
        <v>25</v>
      </c>
      <c r="B14" t="s">
        <v>3</v>
      </c>
      <c r="C14" t="s">
        <v>3</v>
      </c>
      <c r="D14" t="s">
        <v>30</v>
      </c>
      <c r="E14" t="s">
        <v>30</v>
      </c>
      <c r="F14" t="s">
        <v>31</v>
      </c>
      <c r="G14" t="s">
        <v>31</v>
      </c>
    </row>
    <row r="15" spans="1:18" x14ac:dyDescent="0.2">
      <c r="A15" t="s">
        <v>26</v>
      </c>
      <c r="B15" t="s">
        <v>38</v>
      </c>
      <c r="C15" t="s">
        <v>38</v>
      </c>
      <c r="D15" t="s">
        <v>39</v>
      </c>
      <c r="E15" t="s">
        <v>39</v>
      </c>
      <c r="F15" t="s">
        <v>40</v>
      </c>
      <c r="G15" t="s">
        <v>40</v>
      </c>
    </row>
    <row r="16" spans="1:18" x14ac:dyDescent="0.2">
      <c r="A16" t="s">
        <v>27</v>
      </c>
      <c r="B16" t="s">
        <v>38</v>
      </c>
      <c r="C16" t="s">
        <v>38</v>
      </c>
      <c r="D16" t="s">
        <v>41</v>
      </c>
      <c r="E16" t="s">
        <v>41</v>
      </c>
      <c r="F16" t="s">
        <v>42</v>
      </c>
      <c r="G16" t="s">
        <v>42</v>
      </c>
    </row>
    <row r="17" spans="1:18" x14ac:dyDescent="0.2">
      <c r="A17" t="s">
        <v>28</v>
      </c>
      <c r="B17" t="s">
        <v>38</v>
      </c>
      <c r="C17" t="s">
        <v>38</v>
      </c>
      <c r="D17" t="s">
        <v>43</v>
      </c>
      <c r="E17" t="s">
        <v>43</v>
      </c>
      <c r="F17" t="s">
        <v>44</v>
      </c>
      <c r="G17" t="s">
        <v>44</v>
      </c>
    </row>
    <row r="18" spans="1:18" x14ac:dyDescent="0.2">
      <c r="A18" t="s">
        <v>29</v>
      </c>
      <c r="B18" t="s">
        <v>3</v>
      </c>
      <c r="C18" t="s">
        <v>3</v>
      </c>
      <c r="D18" t="s">
        <v>49</v>
      </c>
      <c r="E18" s="3" t="s">
        <v>54</v>
      </c>
      <c r="F18" t="s">
        <v>6</v>
      </c>
      <c r="G18" t="s">
        <v>10</v>
      </c>
      <c r="H18" t="s">
        <v>58</v>
      </c>
      <c r="I18">
        <v>6.4</v>
      </c>
      <c r="J18">
        <v>1.5</v>
      </c>
      <c r="K18">
        <f>I18+J18</f>
        <v>7.9</v>
      </c>
      <c r="L18" t="s">
        <v>57</v>
      </c>
      <c r="M18">
        <v>4.0999999999999996</v>
      </c>
      <c r="N18">
        <v>2.2999999999999998</v>
      </c>
      <c r="O18">
        <f>M18+N18</f>
        <v>6.3999999999999995</v>
      </c>
      <c r="Q18">
        <f>I18/J18</f>
        <v>4.2666666666666666</v>
      </c>
      <c r="R18">
        <f>M18/N18</f>
        <v>1.7826086956521738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Olson (Psychology)</dc:creator>
  <cp:lastModifiedBy>Andrew Olson (Psychology)</cp:lastModifiedBy>
  <dcterms:created xsi:type="dcterms:W3CDTF">2025-01-16T19:33:29Z</dcterms:created>
  <dcterms:modified xsi:type="dcterms:W3CDTF">2025-05-02T16:22:31Z</dcterms:modified>
</cp:coreProperties>
</file>